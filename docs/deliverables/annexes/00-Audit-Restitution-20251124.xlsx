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xr:revisionPtr revIDLastSave="0" documentId="8_{F6C00900-52B6-8541-BBFB-3F0575BB4691}" xr6:coauthVersionLast="47" xr6:coauthVersionMax="47" xr10:uidLastSave="{00000000-0000-0000-0000-000000000000}"/>
  <bookViews>
    <workbookView xWindow="2740" yWindow="2740" windowWidth="28800" windowHeight="15340" activeTab="2" xr2:uid="{760EA4E0-9FD1-497A-84FE-716C960294FC}"/>
  </bookViews>
  <sheets>
    <sheet name="Total" sheetId="1" r:id="rId1"/>
    <sheet name="Itemized" sheetId="2" r:id="rId2"/>
    <sheet name="Wee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M8" i="2"/>
  <c r="L8" i="2"/>
  <c r="K8" i="2"/>
  <c r="J8" i="2"/>
  <c r="I8" i="2"/>
  <c r="O8" i="2" s="1"/>
  <c r="H8" i="2"/>
  <c r="G8" i="2"/>
  <c r="F8" i="2"/>
  <c r="O7" i="2"/>
  <c r="O6" i="2"/>
  <c r="O5" i="2"/>
  <c r="O4" i="2"/>
  <c r="O3" i="2"/>
  <c r="O2" i="2"/>
  <c r="N5" i="1"/>
  <c r="M5" i="1"/>
  <c r="L5" i="1"/>
  <c r="K5" i="1"/>
  <c r="J5" i="1"/>
  <c r="I5" i="1"/>
  <c r="H5" i="1"/>
  <c r="G5" i="1"/>
  <c r="F5" i="1"/>
  <c r="E5" i="1"/>
  <c r="D5" i="1"/>
  <c r="C5" i="1"/>
  <c r="B5" i="1"/>
  <c r="O4" i="1"/>
  <c r="O3" i="1"/>
  <c r="O2" i="1"/>
  <c r="O5" i="1" s="1"/>
</calcChain>
</file>

<file path=xl/sharedStrings.xml><?xml version="1.0" encoding="utf-8"?>
<sst xmlns="http://schemas.openxmlformats.org/spreadsheetml/2006/main" count="40" uniqueCount="38">
  <si>
    <t>PROD</t>
  </si>
  <si>
    <t>UAT</t>
  </si>
  <si>
    <t>DEV</t>
  </si>
  <si>
    <t>TOTAL</t>
  </si>
  <si>
    <t>SQL</t>
  </si>
  <si>
    <t>Databrick</t>
  </si>
  <si>
    <t>API Management</t>
  </si>
  <si>
    <t>Bandwith</t>
  </si>
  <si>
    <t>Total</t>
  </si>
  <si>
    <t>App Service</t>
  </si>
  <si>
    <t>CosmoDb</t>
  </si>
  <si>
    <t>Moyenne</t>
  </si>
  <si>
    <t>Colonne1</t>
  </si>
  <si>
    <t>oct-25</t>
  </si>
  <si>
    <t>sept-25</t>
  </si>
  <si>
    <t>août-25</t>
  </si>
  <si>
    <t>juil-25</t>
  </si>
  <si>
    <t>juin-25</t>
  </si>
  <si>
    <t>mai-25</t>
  </si>
  <si>
    <t>01-avr</t>
  </si>
  <si>
    <t>mars-25</t>
  </si>
  <si>
    <t>févr-25</t>
  </si>
  <si>
    <t>janv-25</t>
  </si>
  <si>
    <t>déc-24</t>
  </si>
  <si>
    <t>nov-24</t>
  </si>
  <si>
    <t>oct-24</t>
  </si>
  <si>
    <t>Cosmo</t>
  </si>
  <si>
    <t>13-19</t>
  </si>
  <si>
    <t>27/1-2/2</t>
  </si>
  <si>
    <t>3/2-9/2</t>
  </si>
  <si>
    <t>10/3-16/2</t>
  </si>
  <si>
    <t>17-2/23-2</t>
  </si>
  <si>
    <t>24/2-2-/3</t>
  </si>
  <si>
    <t>3/3-9/3</t>
  </si>
  <si>
    <t>10/3-16/3</t>
  </si>
  <si>
    <t>17/3-23/3</t>
  </si>
  <si>
    <t>24/3-30-3</t>
  </si>
  <si>
    <t>20-26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</si>
</sst>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#,##0.00\ &quot;€&quot;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Azure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676088666476338E-2"/>
          <c:y val="0.14164818289694411"/>
          <c:w val="0.92688981126283643"/>
          <c:h val="0.71000563411248985"/>
        </c:manualLayout>
      </c:layout>
      <c:lineChart>
        <c:grouping val="standard"/>
        <c:varyColors val="0"/>
        <c:ser>
          <c:idx val="0"/>
          <c:order val="0"/>
          <c:tx>
            <c:strRef>
              <c:f>Total!$A$2</c:f>
              <c:strCache>
                <c:ptCount val="1"/>
                <c:pt idx="0">
                  <c:v>PROD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Total!$B$1:$N$1</c:f>
              <c:numCache>
                <c:formatCode>mmm\-yy</c:formatCode>
                <c:ptCount val="13"/>
                <c:pt idx="0">
                  <c:v>45931</c:v>
                </c:pt>
                <c:pt idx="1">
                  <c:v>45901</c:v>
                </c:pt>
                <c:pt idx="2">
                  <c:v>45870</c:v>
                </c:pt>
                <c:pt idx="3">
                  <c:v>45839</c:v>
                </c:pt>
                <c:pt idx="4">
                  <c:v>45809</c:v>
                </c:pt>
                <c:pt idx="5">
                  <c:v>45778</c:v>
                </c:pt>
                <c:pt idx="6" formatCode="d\-mmm">
                  <c:v>45748</c:v>
                </c:pt>
                <c:pt idx="7">
                  <c:v>45717</c:v>
                </c:pt>
                <c:pt idx="8">
                  <c:v>45689</c:v>
                </c:pt>
                <c:pt idx="9">
                  <c:v>45658</c:v>
                </c:pt>
                <c:pt idx="10">
                  <c:v>45627</c:v>
                </c:pt>
                <c:pt idx="11">
                  <c:v>45597</c:v>
                </c:pt>
                <c:pt idx="12">
                  <c:v>45566</c:v>
                </c:pt>
              </c:numCache>
            </c:numRef>
          </c:cat>
          <c:val>
            <c:numRef>
              <c:f>Total!$B$2:$N$2</c:f>
              <c:numCache>
                <c:formatCode>General</c:formatCode>
                <c:ptCount val="13"/>
                <c:pt idx="0">
                  <c:v>28089</c:v>
                </c:pt>
                <c:pt idx="1">
                  <c:v>27937</c:v>
                </c:pt>
                <c:pt idx="2">
                  <c:v>27448</c:v>
                </c:pt>
                <c:pt idx="3">
                  <c:v>26073</c:v>
                </c:pt>
                <c:pt idx="4">
                  <c:v>26088</c:v>
                </c:pt>
                <c:pt idx="5">
                  <c:v>27625</c:v>
                </c:pt>
                <c:pt idx="6">
                  <c:v>30740</c:v>
                </c:pt>
                <c:pt idx="7">
                  <c:v>29820</c:v>
                </c:pt>
                <c:pt idx="8">
                  <c:v>34242</c:v>
                </c:pt>
                <c:pt idx="9">
                  <c:v>29690</c:v>
                </c:pt>
                <c:pt idx="10">
                  <c:v>23550</c:v>
                </c:pt>
                <c:pt idx="11">
                  <c:v>20182</c:v>
                </c:pt>
                <c:pt idx="12">
                  <c:v>23323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2-4E87-A1FC-E04410934D54}"/>
            </c:ext>
          </c:extLst>
        </c:ser>
        <c:ser>
          <c:idx val="1"/>
          <c:order val="1"/>
          <c:tx>
            <c:strRef>
              <c:f>Total!$A$3</c:f>
              <c:strCache>
                <c:ptCount val="1"/>
                <c:pt idx="0">
                  <c:v>UAT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Total!$B$1:$N$1</c:f>
              <c:numCache>
                <c:formatCode>mmm\-yy</c:formatCode>
                <c:ptCount val="13"/>
                <c:pt idx="0">
                  <c:v>45931</c:v>
                </c:pt>
                <c:pt idx="1">
                  <c:v>45901</c:v>
                </c:pt>
                <c:pt idx="2">
                  <c:v>45870</c:v>
                </c:pt>
                <c:pt idx="3">
                  <c:v>45839</c:v>
                </c:pt>
                <c:pt idx="4">
                  <c:v>45809</c:v>
                </c:pt>
                <c:pt idx="5">
                  <c:v>45778</c:v>
                </c:pt>
                <c:pt idx="6" formatCode="d\-mmm">
                  <c:v>45748</c:v>
                </c:pt>
                <c:pt idx="7">
                  <c:v>45717</c:v>
                </c:pt>
                <c:pt idx="8">
                  <c:v>45689</c:v>
                </c:pt>
                <c:pt idx="9">
                  <c:v>45658</c:v>
                </c:pt>
                <c:pt idx="10">
                  <c:v>45627</c:v>
                </c:pt>
                <c:pt idx="11">
                  <c:v>45597</c:v>
                </c:pt>
                <c:pt idx="12">
                  <c:v>45566</c:v>
                </c:pt>
              </c:numCache>
            </c:numRef>
          </c:cat>
          <c:val>
            <c:numRef>
              <c:f>Total!$B$3:$N$3</c:f>
              <c:numCache>
                <c:formatCode>General</c:formatCode>
                <c:ptCount val="13"/>
                <c:pt idx="0">
                  <c:v>2655</c:v>
                </c:pt>
                <c:pt idx="1">
                  <c:v>2669</c:v>
                </c:pt>
                <c:pt idx="2">
                  <c:v>2831</c:v>
                </c:pt>
                <c:pt idx="3">
                  <c:v>2725</c:v>
                </c:pt>
                <c:pt idx="4">
                  <c:v>3191</c:v>
                </c:pt>
                <c:pt idx="5">
                  <c:v>2782</c:v>
                </c:pt>
                <c:pt idx="6">
                  <c:v>2975</c:v>
                </c:pt>
                <c:pt idx="7">
                  <c:v>3160</c:v>
                </c:pt>
                <c:pt idx="8">
                  <c:v>2463</c:v>
                </c:pt>
                <c:pt idx="9">
                  <c:v>3039</c:v>
                </c:pt>
                <c:pt idx="10">
                  <c:v>4194</c:v>
                </c:pt>
                <c:pt idx="11">
                  <c:v>2363</c:v>
                </c:pt>
                <c:pt idx="12">
                  <c:v>2482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2-4E87-A1FC-E04410934D54}"/>
            </c:ext>
          </c:extLst>
        </c:ser>
        <c:ser>
          <c:idx val="2"/>
          <c:order val="2"/>
          <c:tx>
            <c:strRef>
              <c:f>Total!$A$4</c:f>
              <c:strCache>
                <c:ptCount val="1"/>
                <c:pt idx="0">
                  <c:v>DEV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Total!$B$1:$N$1</c:f>
              <c:numCache>
                <c:formatCode>mmm\-yy</c:formatCode>
                <c:ptCount val="13"/>
                <c:pt idx="0">
                  <c:v>45931</c:v>
                </c:pt>
                <c:pt idx="1">
                  <c:v>45901</c:v>
                </c:pt>
                <c:pt idx="2">
                  <c:v>45870</c:v>
                </c:pt>
                <c:pt idx="3">
                  <c:v>45839</c:v>
                </c:pt>
                <c:pt idx="4">
                  <c:v>45809</c:v>
                </c:pt>
                <c:pt idx="5">
                  <c:v>45778</c:v>
                </c:pt>
                <c:pt idx="6" formatCode="d\-mmm">
                  <c:v>45748</c:v>
                </c:pt>
                <c:pt idx="7">
                  <c:v>45717</c:v>
                </c:pt>
                <c:pt idx="8">
                  <c:v>45689</c:v>
                </c:pt>
                <c:pt idx="9">
                  <c:v>45658</c:v>
                </c:pt>
                <c:pt idx="10">
                  <c:v>45627</c:v>
                </c:pt>
                <c:pt idx="11">
                  <c:v>45597</c:v>
                </c:pt>
                <c:pt idx="12">
                  <c:v>45566</c:v>
                </c:pt>
              </c:numCache>
            </c:numRef>
          </c:cat>
          <c:val>
            <c:numRef>
              <c:f>Total!$B$4:$N$4</c:f>
              <c:numCache>
                <c:formatCode>General</c:formatCode>
                <c:ptCount val="13"/>
                <c:pt idx="0">
                  <c:v>1268</c:v>
                </c:pt>
                <c:pt idx="1">
                  <c:v>1463</c:v>
                </c:pt>
                <c:pt idx="2">
                  <c:v>1511</c:v>
                </c:pt>
                <c:pt idx="3">
                  <c:v>1488</c:v>
                </c:pt>
                <c:pt idx="4">
                  <c:v>1528</c:v>
                </c:pt>
                <c:pt idx="5">
                  <c:v>1442</c:v>
                </c:pt>
                <c:pt idx="6">
                  <c:v>1603</c:v>
                </c:pt>
                <c:pt idx="7">
                  <c:v>1911</c:v>
                </c:pt>
                <c:pt idx="8">
                  <c:v>1508</c:v>
                </c:pt>
                <c:pt idx="9">
                  <c:v>1245</c:v>
                </c:pt>
                <c:pt idx="10">
                  <c:v>1118</c:v>
                </c:pt>
                <c:pt idx="11">
                  <c:v>1121</c:v>
                </c:pt>
                <c:pt idx="12">
                  <c:v>1194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52-4E87-A1FC-E04410934D54}"/>
            </c:ext>
          </c:extLst>
        </c:ser>
        <c:ser>
          <c:idx val="3"/>
          <c:order val="3"/>
          <c:tx>
            <c:strRef>
              <c:f>Total!$A$5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Total!$B$1:$N$1</c:f>
              <c:numCache>
                <c:formatCode>mmm\-yy</c:formatCode>
                <c:ptCount val="13"/>
                <c:pt idx="0">
                  <c:v>45931</c:v>
                </c:pt>
                <c:pt idx="1">
                  <c:v>45901</c:v>
                </c:pt>
                <c:pt idx="2">
                  <c:v>45870</c:v>
                </c:pt>
                <c:pt idx="3">
                  <c:v>45839</c:v>
                </c:pt>
                <c:pt idx="4">
                  <c:v>45809</c:v>
                </c:pt>
                <c:pt idx="5">
                  <c:v>45778</c:v>
                </c:pt>
                <c:pt idx="6" formatCode="d\-mmm">
                  <c:v>45748</c:v>
                </c:pt>
                <c:pt idx="7">
                  <c:v>45717</c:v>
                </c:pt>
                <c:pt idx="8">
                  <c:v>45689</c:v>
                </c:pt>
                <c:pt idx="9">
                  <c:v>45658</c:v>
                </c:pt>
                <c:pt idx="10">
                  <c:v>45627</c:v>
                </c:pt>
                <c:pt idx="11">
                  <c:v>45597</c:v>
                </c:pt>
                <c:pt idx="12">
                  <c:v>45566</c:v>
                </c:pt>
              </c:numCache>
            </c:numRef>
          </c:cat>
          <c:val>
            <c:numRef>
              <c:f>Total!$B$5:$N$5</c:f>
              <c:numCache>
                <c:formatCode>#\ ##0.00\ "€"</c:formatCode>
                <c:ptCount val="13"/>
                <c:pt idx="0">
                  <c:v>32012</c:v>
                </c:pt>
                <c:pt idx="1">
                  <c:v>32069</c:v>
                </c:pt>
                <c:pt idx="2">
                  <c:v>31790</c:v>
                </c:pt>
                <c:pt idx="3">
                  <c:v>30286</c:v>
                </c:pt>
                <c:pt idx="4">
                  <c:v>30807</c:v>
                </c:pt>
                <c:pt idx="5">
                  <c:v>31849</c:v>
                </c:pt>
                <c:pt idx="6">
                  <c:v>35318</c:v>
                </c:pt>
                <c:pt idx="7">
                  <c:v>34891</c:v>
                </c:pt>
                <c:pt idx="8">
                  <c:v>38213</c:v>
                </c:pt>
                <c:pt idx="9">
                  <c:v>33974</c:v>
                </c:pt>
                <c:pt idx="10">
                  <c:v>28862</c:v>
                </c:pt>
                <c:pt idx="11">
                  <c:v>23666</c:v>
                </c:pt>
                <c:pt idx="12">
                  <c:v>26999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52-4E87-A1FC-E04410934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375231"/>
        <c:axId val="698375711"/>
      </c:lineChart>
      <c:dateAx>
        <c:axId val="6983752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8375711"/>
        <c:crosses val="autoZero"/>
        <c:auto val="1"/>
        <c:lblOffset val="100"/>
        <c:baseTimeUnit val="months"/>
      </c:dateAx>
      <c:valAx>
        <c:axId val="69837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837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Itemized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Itemized!$A$2</c:f>
              <c:strCache>
                <c:ptCount val="1"/>
                <c:pt idx="0">
                  <c:v>CosmoDb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Itemized!$I$1:$O$1</c15:sqref>
                  </c15:fullRef>
                </c:ext>
              </c:extLst>
              <c:f>Itemized!$I$1:$N$1</c:f>
              <c:strCache>
                <c:ptCount val="6"/>
                <c:pt idx="0">
                  <c:v>mars-25</c:v>
                </c:pt>
                <c:pt idx="1">
                  <c:v>févr-25</c:v>
                </c:pt>
                <c:pt idx="2">
                  <c:v>janv-25</c:v>
                </c:pt>
                <c:pt idx="3">
                  <c:v>déc-24</c:v>
                </c:pt>
                <c:pt idx="4">
                  <c:v>nov-24</c:v>
                </c:pt>
                <c:pt idx="5">
                  <c:v>oct-24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Itemized!$I$2:$O$2</c15:sqref>
                  </c15:fullRef>
                </c:ext>
              </c:extLst>
              <c:f>Itemized!$I$2:$N$2</c:f>
              <c:numCache>
                <c:formatCode>General</c:formatCode>
                <c:ptCount val="6"/>
                <c:pt idx="0">
                  <c:v>16161</c:v>
                </c:pt>
                <c:pt idx="1">
                  <c:v>24135</c:v>
                </c:pt>
                <c:pt idx="2">
                  <c:v>18829</c:v>
                </c:pt>
                <c:pt idx="3">
                  <c:v>12909</c:v>
                </c:pt>
                <c:pt idx="4">
                  <c:v>11329</c:v>
                </c:pt>
                <c:pt idx="5">
                  <c:v>13483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9-43AE-8944-FD24C6EB7E86}"/>
            </c:ext>
          </c:extLst>
        </c:ser>
        <c:ser>
          <c:idx val="1"/>
          <c:order val="1"/>
          <c:tx>
            <c:strRef>
              <c:f>Itemized!$A$3</c:f>
              <c:strCache>
                <c:ptCount val="1"/>
                <c:pt idx="0">
                  <c:v>SQL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Itemized!$I$1:$O$1</c15:sqref>
                  </c15:fullRef>
                </c:ext>
              </c:extLst>
              <c:f>Itemized!$I$1:$N$1</c:f>
              <c:strCache>
                <c:ptCount val="6"/>
                <c:pt idx="0">
                  <c:v>mars-25</c:v>
                </c:pt>
                <c:pt idx="1">
                  <c:v>févr-25</c:v>
                </c:pt>
                <c:pt idx="2">
                  <c:v>janv-25</c:v>
                </c:pt>
                <c:pt idx="3">
                  <c:v>déc-24</c:v>
                </c:pt>
                <c:pt idx="4">
                  <c:v>nov-24</c:v>
                </c:pt>
                <c:pt idx="5">
                  <c:v>oct-24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Itemized!$I$3:$O$3</c15:sqref>
                  </c15:fullRef>
                </c:ext>
              </c:extLst>
              <c:f>Itemized!$I$3:$N$3</c:f>
              <c:numCache>
                <c:formatCode>General</c:formatCode>
                <c:ptCount val="6"/>
                <c:pt idx="0">
                  <c:v>4614</c:v>
                </c:pt>
                <c:pt idx="1">
                  <c:v>4487</c:v>
                </c:pt>
                <c:pt idx="2">
                  <c:v>4971</c:v>
                </c:pt>
                <c:pt idx="3">
                  <c:v>4915</c:v>
                </c:pt>
                <c:pt idx="4">
                  <c:v>4624</c:v>
                </c:pt>
                <c:pt idx="5">
                  <c:v>4620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9-43AE-8944-FD24C6EB7E86}"/>
            </c:ext>
          </c:extLst>
        </c:ser>
        <c:ser>
          <c:idx val="2"/>
          <c:order val="2"/>
          <c:tx>
            <c:strRef>
              <c:f>Itemized!$A$4</c:f>
              <c:strCache>
                <c:ptCount val="1"/>
                <c:pt idx="0">
                  <c:v>Databrick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Itemized!$I$1:$O$1</c15:sqref>
                  </c15:fullRef>
                </c:ext>
              </c:extLst>
              <c:f>Itemized!$I$1:$N$1</c:f>
              <c:strCache>
                <c:ptCount val="6"/>
                <c:pt idx="0">
                  <c:v>mars-25</c:v>
                </c:pt>
                <c:pt idx="1">
                  <c:v>févr-25</c:v>
                </c:pt>
                <c:pt idx="2">
                  <c:v>janv-25</c:v>
                </c:pt>
                <c:pt idx="3">
                  <c:v>déc-24</c:v>
                </c:pt>
                <c:pt idx="4">
                  <c:v>nov-24</c:v>
                </c:pt>
                <c:pt idx="5">
                  <c:v>oct-24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Itemized!$I$4:$O$4</c15:sqref>
                  </c15:fullRef>
                </c:ext>
              </c:extLst>
              <c:f>Itemized!$I$4:$N$4</c:f>
              <c:numCache>
                <c:formatCode>General</c:formatCode>
                <c:ptCount val="6"/>
                <c:pt idx="0">
                  <c:v>4614</c:v>
                </c:pt>
                <c:pt idx="1">
                  <c:v>2375</c:v>
                </c:pt>
                <c:pt idx="2">
                  <c:v>2596</c:v>
                </c:pt>
                <c:pt idx="3">
                  <c:v>2441</c:v>
                </c:pt>
                <c:pt idx="4">
                  <c:v>1296</c:v>
                </c:pt>
                <c:pt idx="5">
                  <c:v>2192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9-43AE-8944-FD24C6EB7E86}"/>
            </c:ext>
          </c:extLst>
        </c:ser>
        <c:ser>
          <c:idx val="3"/>
          <c:order val="3"/>
          <c:tx>
            <c:strRef>
              <c:f>Itemized!$A$5</c:f>
              <c:strCache>
                <c:ptCount val="1"/>
                <c:pt idx="0">
                  <c:v>API Management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Itemized!$I$1:$O$1</c15:sqref>
                  </c15:fullRef>
                </c:ext>
              </c:extLst>
              <c:f>Itemized!$I$1:$N$1</c:f>
              <c:strCache>
                <c:ptCount val="6"/>
                <c:pt idx="0">
                  <c:v>mars-25</c:v>
                </c:pt>
                <c:pt idx="1">
                  <c:v>févr-25</c:v>
                </c:pt>
                <c:pt idx="2">
                  <c:v>janv-25</c:v>
                </c:pt>
                <c:pt idx="3">
                  <c:v>déc-24</c:v>
                </c:pt>
                <c:pt idx="4">
                  <c:v>nov-24</c:v>
                </c:pt>
                <c:pt idx="5">
                  <c:v>oct-24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Itemized!$I$5:$O$5</c15:sqref>
                  </c15:fullRef>
                </c:ext>
              </c:extLst>
              <c:f>Itemized!$I$5:$N$5</c:f>
              <c:numCache>
                <c:formatCode>General</c:formatCode>
                <c:ptCount val="6"/>
                <c:pt idx="0">
                  <c:v>1332</c:v>
                </c:pt>
                <c:pt idx="1">
                  <c:v>1213</c:v>
                </c:pt>
                <c:pt idx="2">
                  <c:v>1343</c:v>
                </c:pt>
                <c:pt idx="3">
                  <c:v>1335</c:v>
                </c:pt>
                <c:pt idx="4">
                  <c:v>1254</c:v>
                </c:pt>
                <c:pt idx="5">
                  <c:v>1253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9-43AE-8944-FD24C6EB7E86}"/>
            </c:ext>
          </c:extLst>
        </c:ser>
        <c:ser>
          <c:idx val="4"/>
          <c:order val="4"/>
          <c:tx>
            <c:strRef>
              <c:f>Itemized!$A$6</c:f>
              <c:strCache>
                <c:ptCount val="1"/>
                <c:pt idx="0">
                  <c:v>App Service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Itemized!$I$1:$O$1</c15:sqref>
                  </c15:fullRef>
                </c:ext>
              </c:extLst>
              <c:f>Itemized!$I$1:$N$1</c:f>
              <c:strCache>
                <c:ptCount val="6"/>
                <c:pt idx="0">
                  <c:v>mars-25</c:v>
                </c:pt>
                <c:pt idx="1">
                  <c:v>févr-25</c:v>
                </c:pt>
                <c:pt idx="2">
                  <c:v>janv-25</c:v>
                </c:pt>
                <c:pt idx="3">
                  <c:v>déc-24</c:v>
                </c:pt>
                <c:pt idx="4">
                  <c:v>nov-24</c:v>
                </c:pt>
                <c:pt idx="5">
                  <c:v>oct-24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Itemized!$I$6:$O$6</c15:sqref>
                  </c15:fullRef>
                </c:ext>
              </c:extLst>
              <c:f>Itemized!$I$6:$N$6</c:f>
              <c:numCache>
                <c:formatCode>General</c:formatCode>
                <c:ptCount val="6"/>
                <c:pt idx="0">
                  <c:v>1306</c:v>
                </c:pt>
                <c:pt idx="1">
                  <c:v>1172</c:v>
                </c:pt>
                <c:pt idx="2">
                  <c:v>1273</c:v>
                </c:pt>
                <c:pt idx="3">
                  <c:v>1281</c:v>
                </c:pt>
                <c:pt idx="4">
                  <c:v>1102</c:v>
                </c:pt>
                <c:pt idx="5">
                  <c:v>1156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19-43AE-8944-FD24C6EB7E86}"/>
            </c:ext>
          </c:extLst>
        </c:ser>
        <c:ser>
          <c:idx val="5"/>
          <c:order val="5"/>
          <c:tx>
            <c:strRef>
              <c:f>Itemized!$A$7</c:f>
              <c:strCache>
                <c:ptCount val="1"/>
                <c:pt idx="0">
                  <c:v>Bandwith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Itemized!$I$1:$O$1</c15:sqref>
                  </c15:fullRef>
                </c:ext>
              </c:extLst>
              <c:f>Itemized!$I$1:$N$1</c:f>
              <c:strCache>
                <c:ptCount val="6"/>
                <c:pt idx="0">
                  <c:v>mars-25</c:v>
                </c:pt>
                <c:pt idx="1">
                  <c:v>févr-25</c:v>
                </c:pt>
                <c:pt idx="2">
                  <c:v>janv-25</c:v>
                </c:pt>
                <c:pt idx="3">
                  <c:v>déc-24</c:v>
                </c:pt>
                <c:pt idx="4">
                  <c:v>nov-24</c:v>
                </c:pt>
                <c:pt idx="5">
                  <c:v>oct-24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Itemized!$I$7:$O$7</c15:sqref>
                  </c15:fullRef>
                </c:ext>
              </c:extLst>
              <c:f>Itemized!$I$7:$N$7</c:f>
              <c:numCache>
                <c:formatCode>General</c:formatCode>
                <c:ptCount val="6"/>
                <c:pt idx="0">
                  <c:v>7</c:v>
                </c:pt>
                <c:pt idx="1">
                  <c:v>3.61</c:v>
                </c:pt>
                <c:pt idx="2">
                  <c:v>3.69</c:v>
                </c:pt>
                <c:pt idx="3">
                  <c:v>7.85</c:v>
                </c:pt>
                <c:pt idx="4">
                  <c:v>2.77</c:v>
                </c:pt>
                <c:pt idx="5">
                  <c:v>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19-43AE-8944-FD24C6EB7E86}"/>
            </c:ext>
          </c:extLst>
        </c:ser>
        <c:ser>
          <c:idx val="6"/>
          <c:order val="6"/>
          <c:tx>
            <c:strRef>
              <c:f>Itemized!$A$8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Itemized!$I$1:$O$1</c15:sqref>
                  </c15:fullRef>
                </c:ext>
              </c:extLst>
              <c:f>Itemized!$I$1:$N$1</c:f>
              <c:strCache>
                <c:ptCount val="6"/>
                <c:pt idx="0">
                  <c:v>mars-25</c:v>
                </c:pt>
                <c:pt idx="1">
                  <c:v>févr-25</c:v>
                </c:pt>
                <c:pt idx="2">
                  <c:v>janv-25</c:v>
                </c:pt>
                <c:pt idx="3">
                  <c:v>déc-24</c:v>
                </c:pt>
                <c:pt idx="4">
                  <c:v>nov-24</c:v>
                </c:pt>
                <c:pt idx="5">
                  <c:v>oct-24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Itemized!$I$8:$O$8</c15:sqref>
                  </c15:fullRef>
                </c:ext>
              </c:extLst>
              <c:f>Itemized!$I$8:$N$8</c:f>
              <c:numCache>
                <c:formatCode>#\ ##0.00\ "€"</c:formatCode>
                <c:ptCount val="6"/>
                <c:pt idx="0">
                  <c:v>28034</c:v>
                </c:pt>
                <c:pt idx="1">
                  <c:v>33385.61</c:v>
                </c:pt>
                <c:pt idx="2">
                  <c:v>29015.69</c:v>
                </c:pt>
                <c:pt idx="3">
                  <c:v>22888.85</c:v>
                </c:pt>
                <c:pt idx="4">
                  <c:v>19607.77</c:v>
                </c:pt>
                <c:pt idx="5">
                  <c:v>22708.720000000001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19-43AE-8944-FD24C6EB7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731471"/>
        <c:axId val="936732431"/>
      </c:lineChart>
      <c:catAx>
        <c:axId val="936731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6732431"/>
        <c:crosses val="autoZero"/>
        <c:auto val="1"/>
        <c:lblAlgn val="ctr"/>
        <c:lblOffset val="100"/>
        <c:noMultiLvlLbl val="0"/>
      </c:catAx>
      <c:valAx>
        <c:axId val="93673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673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Weekly</a:t>
            </a:r>
            <a:r>
              <a:rPr lang="fr-FR" baseline="0"/>
              <a:t> cost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Week!$A$2</c:f>
              <c:strCache>
                <c:ptCount val="1"/>
                <c:pt idx="0">
                  <c:v>Cosmo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Week!$B$1:$L$1</c:f>
              <c:strCache>
                <c:ptCount val="11"/>
                <c:pt idx="0">
                  <c:v>13-19</c:v>
                </c:pt>
                <c:pt idx="1">
                  <c:v>20-26</c:v>
                </c:pt>
                <c:pt idx="2">
                  <c:v>27/1-2/2</c:v>
                </c:pt>
                <c:pt idx="3">
                  <c:v>3/2-9/2</c:v>
                </c:pt>
                <c:pt idx="4">
                  <c:v>10/3-16/2</c:v>
                </c:pt>
                <c:pt idx="5">
                  <c:v>17-2/23-2</c:v>
                </c:pt>
                <c:pt idx="6">
                  <c:v>24/2-2-/3</c:v>
                </c:pt>
                <c:pt idx="7">
                  <c:v>3/3-9/3</c:v>
                </c:pt>
                <c:pt idx="8">
                  <c:v>10/3-16/3</c:v>
                </c:pt>
                <c:pt idx="9">
                  <c:v>17/3-23/3</c:v>
                </c:pt>
                <c:pt idx="10">
                  <c:v>24/3-30-3</c:v>
                </c:pt>
              </c:strCache>
            </c:strRef>
          </c:cat>
          <c:val>
            <c:numRef>
              <c:f>Week!$B$2:$L$2</c:f>
              <c:numCache>
                <c:formatCode>General</c:formatCode>
                <c:ptCount val="11"/>
                <c:pt idx="0">
                  <c:v>3450</c:v>
                </c:pt>
                <c:pt idx="1">
                  <c:v>6093</c:v>
                </c:pt>
                <c:pt idx="2">
                  <c:v>5923</c:v>
                </c:pt>
                <c:pt idx="3">
                  <c:v>5390</c:v>
                </c:pt>
                <c:pt idx="4">
                  <c:v>6848</c:v>
                </c:pt>
                <c:pt idx="5">
                  <c:v>6643</c:v>
                </c:pt>
                <c:pt idx="6">
                  <c:v>5072</c:v>
                </c:pt>
                <c:pt idx="7">
                  <c:v>4075</c:v>
                </c:pt>
                <c:pt idx="8">
                  <c:v>3023</c:v>
                </c:pt>
                <c:pt idx="9">
                  <c:v>4486</c:v>
                </c:pt>
                <c:pt idx="10">
                  <c:v>3256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A-4AB7-A0F1-D347F81F1071}"/>
            </c:ext>
          </c:extLst>
        </c:ser>
        <c:ser>
          <c:idx val="1"/>
          <c:order val="1"/>
          <c:tx>
            <c:strRef>
              <c:f>Week!$A$3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Week!$B$1:$L$1</c:f>
              <c:strCache>
                <c:ptCount val="11"/>
                <c:pt idx="0">
                  <c:v>13-19</c:v>
                </c:pt>
                <c:pt idx="1">
                  <c:v>20-26</c:v>
                </c:pt>
                <c:pt idx="2">
                  <c:v>27/1-2/2</c:v>
                </c:pt>
                <c:pt idx="3">
                  <c:v>3/2-9/2</c:v>
                </c:pt>
                <c:pt idx="4">
                  <c:v>10/3-16/2</c:v>
                </c:pt>
                <c:pt idx="5">
                  <c:v>17-2/23-2</c:v>
                </c:pt>
                <c:pt idx="6">
                  <c:v>24/2-2-/3</c:v>
                </c:pt>
                <c:pt idx="7">
                  <c:v>3/3-9/3</c:v>
                </c:pt>
                <c:pt idx="8">
                  <c:v>10/3-16/3</c:v>
                </c:pt>
                <c:pt idx="9">
                  <c:v>17/3-23/3</c:v>
                </c:pt>
                <c:pt idx="10">
                  <c:v>24/3-30-3</c:v>
                </c:pt>
              </c:strCache>
            </c:strRef>
          </c:cat>
          <c:val>
            <c:numRef>
              <c:f>Week!$B$3:$L$3</c:f>
              <c:numCache>
                <c:formatCode>General</c:formatCode>
                <c:ptCount val="11"/>
                <c:pt idx="0">
                  <c:v>5900</c:v>
                </c:pt>
                <c:pt idx="1">
                  <c:v>8629</c:v>
                </c:pt>
                <c:pt idx="2">
                  <c:v>8470</c:v>
                </c:pt>
                <c:pt idx="3">
                  <c:v>7837</c:v>
                </c:pt>
                <c:pt idx="4">
                  <c:v>9284</c:v>
                </c:pt>
                <c:pt idx="5">
                  <c:v>9041</c:v>
                </c:pt>
                <c:pt idx="6">
                  <c:v>7919</c:v>
                </c:pt>
                <c:pt idx="7">
                  <c:v>6759</c:v>
                </c:pt>
                <c:pt idx="8">
                  <c:v>5741</c:v>
                </c:pt>
                <c:pt idx="9">
                  <c:v>8027</c:v>
                </c:pt>
                <c:pt idx="10">
                  <c:v>6793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A-4AB7-A0F1-D347F81F1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196608"/>
        <c:axId val="850203808"/>
      </c:barChart>
      <c:catAx>
        <c:axId val="85019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0203808"/>
        <c:crosses val="autoZero"/>
        <c:auto val="1"/>
        <c:lblAlgn val="ctr"/>
        <c:lblOffset val="100"/>
        <c:noMultiLvlLbl val="0"/>
      </c:catAx>
      <c:valAx>
        <c:axId val="8502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019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8</xdr:row>
      <xdr:rowOff>76199</xdr:rowOff>
    </xdr:from>
    <xdr:to>
      <xdr:col>10</xdr:col>
      <xdr:colOff>180976</xdr:colOff>
      <xdr:row>34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1D4B66D-5EC7-BEFA-A500-93BCED617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157162</xdr:rowOff>
    </xdr:from>
    <xdr:to>
      <xdr:col>12</xdr:col>
      <xdr:colOff>180975</xdr:colOff>
      <xdr:row>34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89BECD-5038-9C1F-A6AE-7AB92721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35</xdr:row>
      <xdr:rowOff>0</xdr:rowOff>
    </xdr:from>
    <xdr:to>
      <xdr:col>16</xdr:col>
      <xdr:colOff>19050</xdr:colOff>
      <xdr:row>44</xdr:row>
      <xdr:rowOff>76200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73F0929-8EBC-8941-037A-8ADDB037A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667500"/>
          <a:ext cx="12172950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18</xdr:row>
      <xdr:rowOff>0</xdr:rowOff>
    </xdr:from>
    <xdr:to>
      <xdr:col>16</xdr:col>
      <xdr:colOff>19050</xdr:colOff>
      <xdr:row>27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CE4243E-F55F-4A8E-9E20-BEB0A301F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429000"/>
          <a:ext cx="12172950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33337</xdr:colOff>
      <xdr:row>3</xdr:row>
      <xdr:rowOff>57150</xdr:rowOff>
    </xdr:from>
    <xdr:to>
      <xdr:col>6</xdr:col>
      <xdr:colOff>33337</xdr:colOff>
      <xdr:row>17</xdr:row>
      <xdr:rowOff>133350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D2E17CD-8F51-859B-0B2A-9E643829C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38419-F688-4753-9DC0-E5CFC32CBB6D}" name="Tableau1" displayName="Tableau1" ref="A1:O8" totalsRowShown="0" headerRowDxfId="1">
  <autoFilter ref="A1:O8" xr:uid="{C5C38419-F688-4753-9DC0-E5CFC32CBB6D}"/>
  <tableColumns count="15">
    <tableColumn id="1" xr3:uid="{963C741E-FBC1-4DFE-94D3-47CE7B5F2A1A}" name="Colonne1"/>
    <tableColumn id="2" xr3:uid="{5B9820A2-FBBB-4706-B250-AFB9F6F1E542}" name="oct-25"/>
    <tableColumn id="3" xr3:uid="{EFA2D109-D75E-4B93-8CB5-734672B13A75}" name="sept-25"/>
    <tableColumn id="4" xr3:uid="{279ADEE5-C271-4FCD-A967-A572C4831A6F}" name="août-25"/>
    <tableColumn id="5" xr3:uid="{046AACD6-7B47-48AE-B25B-F4894FCA06BE}" name="juil-25"/>
    <tableColumn id="6" xr3:uid="{7483C9A9-3FBB-4686-B686-879DFEDD9CCF}" name="juin-25"/>
    <tableColumn id="7" xr3:uid="{31BA766A-AB9B-4C86-B486-8FC614595B53}" name="mai-25"/>
    <tableColumn id="8" xr3:uid="{7DDC1234-82FC-4C40-8BFC-8AB5543DAC6E}" name="01-avr"/>
    <tableColumn id="9" xr3:uid="{FBD4B820-01D8-4CD0-8F13-A7F08C75E883}" name="mars-25"/>
    <tableColumn id="10" xr3:uid="{DA4B76DE-422A-4EEC-A722-B6AB2CA9F6F8}" name="févr-25"/>
    <tableColumn id="11" xr3:uid="{82B0AC29-E6F5-4F7E-B674-41F1781EE840}" name="janv-25"/>
    <tableColumn id="12" xr3:uid="{60EFE477-3848-4D20-8B3E-6B658F62C54A}" name="déc-24"/>
    <tableColumn id="13" xr3:uid="{300D5EB7-3725-4EDE-91B0-B9DD10BDA9B3}" name="nov-24"/>
    <tableColumn id="14" xr3:uid="{ADB2C3F2-2F00-4C55-A6A8-BA4B19C08BDC}" name="oct-24"/>
    <tableColumn id="15" xr3:uid="{629DAAA1-365A-4081-8BD0-3B225DA9302C}" name="Moyenn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FCF1-D37C-422F-B0CA-799898BD2954}">
  <dimension ref="A1:O5"/>
  <sheetViews>
    <sheetView workbookViewId="0">
      <selection activeCell="N11" sqref="N11"/>
    </sheetView>
  </sheetViews>
  <sheetFormatPr baseColWidth="10" defaultRowHeight="15" x14ac:dyDescent="0.2"/>
  <sheetData>
    <row r="1" spans="1:15" x14ac:dyDescent="0.2">
      <c r="B1" s="1">
        <v>45931</v>
      </c>
      <c r="C1" s="1">
        <v>45901</v>
      </c>
      <c r="D1" s="1">
        <v>45870</v>
      </c>
      <c r="E1" s="1">
        <v>45839</v>
      </c>
      <c r="F1" s="1">
        <v>45809</v>
      </c>
      <c r="G1" s="1">
        <v>45778</v>
      </c>
      <c r="H1" s="2">
        <v>45748</v>
      </c>
      <c r="I1" s="1">
        <v>45717</v>
      </c>
      <c r="J1" s="1">
        <v>45689</v>
      </c>
      <c r="K1" s="1">
        <v>45658</v>
      </c>
      <c r="L1" s="1">
        <v>45627</v>
      </c>
      <c r="M1" s="1">
        <v>45597</v>
      </c>
      <c r="N1" s="1">
        <v>45566</v>
      </c>
      <c r="O1" s="3" t="s">
        <v>11</v>
      </c>
    </row>
    <row r="2" spans="1:15" x14ac:dyDescent="0.2">
      <c r="A2" t="s">
        <v>0</v>
      </c>
      <c r="B2">
        <v>28089</v>
      </c>
      <c r="C2">
        <v>27937</v>
      </c>
      <c r="D2">
        <v>27448</v>
      </c>
      <c r="E2">
        <v>26073</v>
      </c>
      <c r="F2">
        <v>26088</v>
      </c>
      <c r="G2">
        <v>27625</v>
      </c>
      <c r="H2">
        <v>30740</v>
      </c>
      <c r="I2">
        <v>29820</v>
      </c>
      <c r="J2">
        <v>34242</v>
      </c>
      <c r="K2">
        <v>29690</v>
      </c>
      <c r="L2">
        <v>23550</v>
      </c>
      <c r="M2">
        <v>20182</v>
      </c>
      <c r="N2">
        <v>23323</v>
      </c>
      <c r="O2" s="3">
        <f>AVERAGE(B2:N2)</f>
        <v>27292.846153846152</v>
      </c>
    </row>
    <row r="3" spans="1:15" x14ac:dyDescent="0.2">
      <c r="A3" t="s">
        <v>1</v>
      </c>
      <c r="B3">
        <v>2655</v>
      </c>
      <c r="C3">
        <v>2669</v>
      </c>
      <c r="D3">
        <v>2831</v>
      </c>
      <c r="E3">
        <v>2725</v>
      </c>
      <c r="F3">
        <v>3191</v>
      </c>
      <c r="G3">
        <v>2782</v>
      </c>
      <c r="H3">
        <v>2975</v>
      </c>
      <c r="I3">
        <v>3160</v>
      </c>
      <c r="J3">
        <v>2463</v>
      </c>
      <c r="K3">
        <v>3039</v>
      </c>
      <c r="L3">
        <v>4194</v>
      </c>
      <c r="M3">
        <v>2363</v>
      </c>
      <c r="N3">
        <v>2482</v>
      </c>
      <c r="O3" s="3">
        <f>AVERAGE(B3:N3)</f>
        <v>2886.8461538461538</v>
      </c>
    </row>
    <row r="4" spans="1:15" x14ac:dyDescent="0.2">
      <c r="A4" t="s">
        <v>2</v>
      </c>
      <c r="B4">
        <v>1268</v>
      </c>
      <c r="C4">
        <v>1463</v>
      </c>
      <c r="D4">
        <v>1511</v>
      </c>
      <c r="E4">
        <v>1488</v>
      </c>
      <c r="F4">
        <v>1528</v>
      </c>
      <c r="G4">
        <v>1442</v>
      </c>
      <c r="H4">
        <v>1603</v>
      </c>
      <c r="I4">
        <v>1911</v>
      </c>
      <c r="J4">
        <v>1508</v>
      </c>
      <c r="K4">
        <v>1245</v>
      </c>
      <c r="L4">
        <v>1118</v>
      </c>
      <c r="M4">
        <v>1121</v>
      </c>
      <c r="N4">
        <v>1194</v>
      </c>
      <c r="O4" s="3">
        <f>AVERAGE(B4:N4)</f>
        <v>1415.3846153846155</v>
      </c>
    </row>
    <row r="5" spans="1:15" x14ac:dyDescent="0.2">
      <c r="A5" s="3" t="s">
        <v>3</v>
      </c>
      <c r="B5" s="3">
        <f>SUM(B2:B4)</f>
        <v>32012</v>
      </c>
      <c r="C5" s="3">
        <f t="shared" ref="C5:O5" si="0">SUM(C2:C4)</f>
        <v>32069</v>
      </c>
      <c r="D5" s="3">
        <f t="shared" si="0"/>
        <v>31790</v>
      </c>
      <c r="E5" s="3">
        <f t="shared" si="0"/>
        <v>30286</v>
      </c>
      <c r="F5" s="3">
        <f t="shared" si="0"/>
        <v>30807</v>
      </c>
      <c r="G5" s="3">
        <f t="shared" si="0"/>
        <v>31849</v>
      </c>
      <c r="H5" s="3">
        <f t="shared" si="0"/>
        <v>35318</v>
      </c>
      <c r="I5" s="3">
        <f t="shared" si="0"/>
        <v>34891</v>
      </c>
      <c r="J5" s="3">
        <f t="shared" si="0"/>
        <v>38213</v>
      </c>
      <c r="K5" s="3">
        <f t="shared" si="0"/>
        <v>33974</v>
      </c>
      <c r="L5" s="3">
        <f t="shared" si="0"/>
        <v>28862</v>
      </c>
      <c r="M5" s="3">
        <f t="shared" si="0"/>
        <v>23666</v>
      </c>
      <c r="N5" s="3">
        <f t="shared" si="0"/>
        <v>26999</v>
      </c>
      <c r="O5" s="3">
        <f t="shared" si="0"/>
        <v>31595.076923076922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E890-3AF0-487C-80B8-6CD4D7EA7705}">
  <dimension ref="A1:Q12"/>
  <sheetViews>
    <sheetView workbookViewId="0">
      <selection activeCell="N18" sqref="N18"/>
    </sheetView>
  </sheetViews>
  <sheetFormatPr baseColWidth="10" defaultRowHeight="15" x14ac:dyDescent="0.2"/>
  <sheetData>
    <row r="1" spans="1:17" x14ac:dyDescent="0.2">
      <c r="A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2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t="s">
        <v>11</v>
      </c>
    </row>
    <row r="2" spans="1:17" x14ac:dyDescent="0.2">
      <c r="A2" t="s">
        <v>10</v>
      </c>
      <c r="F2">
        <v>15105</v>
      </c>
      <c r="G2">
        <v>16296</v>
      </c>
      <c r="H2">
        <v>14799</v>
      </c>
      <c r="I2">
        <v>16161</v>
      </c>
      <c r="J2">
        <v>24135</v>
      </c>
      <c r="K2">
        <v>18829</v>
      </c>
      <c r="L2">
        <v>12909</v>
      </c>
      <c r="M2">
        <v>11329</v>
      </c>
      <c r="N2">
        <v>13483</v>
      </c>
      <c r="O2" s="3">
        <f t="shared" ref="O2:O7" si="0">AVERAGE(I2:N2)</f>
        <v>16141</v>
      </c>
    </row>
    <row r="3" spans="1:17" x14ac:dyDescent="0.2">
      <c r="A3" t="s">
        <v>4</v>
      </c>
      <c r="F3">
        <v>4435</v>
      </c>
      <c r="G3">
        <v>4515</v>
      </c>
      <c r="H3">
        <v>4647</v>
      </c>
      <c r="I3">
        <v>4614</v>
      </c>
      <c r="J3">
        <v>4487</v>
      </c>
      <c r="K3">
        <v>4971</v>
      </c>
      <c r="L3">
        <v>4915</v>
      </c>
      <c r="M3">
        <v>4624</v>
      </c>
      <c r="N3">
        <v>4620</v>
      </c>
      <c r="O3" s="3">
        <f t="shared" si="0"/>
        <v>4705.166666666667</v>
      </c>
    </row>
    <row r="4" spans="1:17" x14ac:dyDescent="0.2">
      <c r="A4" t="s">
        <v>5</v>
      </c>
      <c r="F4">
        <v>3897</v>
      </c>
      <c r="G4">
        <v>4057</v>
      </c>
      <c r="H4">
        <v>7734</v>
      </c>
      <c r="I4">
        <v>4614</v>
      </c>
      <c r="J4">
        <v>2375</v>
      </c>
      <c r="K4">
        <v>2596</v>
      </c>
      <c r="L4">
        <v>2441</v>
      </c>
      <c r="M4">
        <v>1296</v>
      </c>
      <c r="N4">
        <v>2192</v>
      </c>
      <c r="O4" s="3">
        <f t="shared" si="0"/>
        <v>2585.6666666666665</v>
      </c>
    </row>
    <row r="5" spans="1:17" x14ac:dyDescent="0.2">
      <c r="A5" t="s">
        <v>6</v>
      </c>
      <c r="F5">
        <v>1198</v>
      </c>
      <c r="G5">
        <v>1230</v>
      </c>
      <c r="H5">
        <v>1254</v>
      </c>
      <c r="I5">
        <v>1332</v>
      </c>
      <c r="J5">
        <v>1213</v>
      </c>
      <c r="K5">
        <v>1343</v>
      </c>
      <c r="L5">
        <v>1335</v>
      </c>
      <c r="M5">
        <v>1254</v>
      </c>
      <c r="N5">
        <v>1253</v>
      </c>
      <c r="O5" s="3">
        <f t="shared" si="0"/>
        <v>1288.3333333333333</v>
      </c>
    </row>
    <row r="6" spans="1:17" x14ac:dyDescent="0.2">
      <c r="A6" t="s">
        <v>9</v>
      </c>
      <c r="F6">
        <v>1089</v>
      </c>
      <c r="G6">
        <v>996</v>
      </c>
      <c r="H6">
        <v>1208</v>
      </c>
      <c r="I6">
        <v>1306</v>
      </c>
      <c r="J6">
        <v>1172</v>
      </c>
      <c r="K6">
        <v>1273</v>
      </c>
      <c r="L6">
        <v>1281</v>
      </c>
      <c r="M6">
        <v>1102</v>
      </c>
      <c r="N6">
        <v>1156</v>
      </c>
      <c r="O6" s="3">
        <f t="shared" si="0"/>
        <v>1215</v>
      </c>
    </row>
    <row r="7" spans="1:17" x14ac:dyDescent="0.2">
      <c r="A7" t="s">
        <v>7</v>
      </c>
      <c r="F7">
        <v>2.86</v>
      </c>
      <c r="G7">
        <v>2.74</v>
      </c>
      <c r="H7">
        <v>2.58</v>
      </c>
      <c r="I7">
        <v>7</v>
      </c>
      <c r="J7">
        <v>3.61</v>
      </c>
      <c r="K7">
        <v>3.69</v>
      </c>
      <c r="L7">
        <v>7.85</v>
      </c>
      <c r="M7">
        <v>2.77</v>
      </c>
      <c r="N7">
        <v>4.72</v>
      </c>
      <c r="O7" s="3">
        <f t="shared" si="0"/>
        <v>4.9399999999999995</v>
      </c>
    </row>
    <row r="8" spans="1:17" x14ac:dyDescent="0.2">
      <c r="A8" t="s">
        <v>8</v>
      </c>
      <c r="F8" s="3">
        <f>SUM(F2:F7)</f>
        <v>25726.86</v>
      </c>
      <c r="G8" s="3">
        <f>SUM(G2:G7)</f>
        <v>27096.74</v>
      </c>
      <c r="H8" s="3">
        <f>SUM(H2:H7)</f>
        <v>29644.58</v>
      </c>
      <c r="I8" s="3">
        <f>SUM(I2:I7)</f>
        <v>28034</v>
      </c>
      <c r="J8" s="3">
        <f t="shared" ref="J8:N8" si="1">SUM(J2:J7)</f>
        <v>33385.61</v>
      </c>
      <c r="K8" s="3">
        <f t="shared" si="1"/>
        <v>29015.69</v>
      </c>
      <c r="L8" s="3">
        <f t="shared" si="1"/>
        <v>22888.85</v>
      </c>
      <c r="M8" s="3">
        <f t="shared" si="1"/>
        <v>19607.77</v>
      </c>
      <c r="N8" s="3">
        <f t="shared" si="1"/>
        <v>22708.720000000001</v>
      </c>
      <c r="O8" s="3">
        <f>SUM(I8:N8)</f>
        <v>155640.63999999998</v>
      </c>
    </row>
    <row r="12" spans="1:17" x14ac:dyDescent="0.2">
      <c r="P12" s="2"/>
      <c r="Q12" s="2"/>
    </row>
  </sheetData>
  <conditionalFormatting sqref="F2:N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{AA15D0CC-5405-47F5-BBC1-C66ED35E78EC}</x14:id>
        </ext>
      </extLst>
    </cfRule>
  </conditionalFormatting>
  <conditionalFormatting sqref="F7:N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{A8F5EA75-AEB1-4872-B806-1F62592B6942}</x14:id>
        </ext>
      </extLst>
    </cfRule>
  </conditionalFormatting>
  <conditionalFormatting sqref="F8:N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{294FA6CB-5D9B-4E10-B098-7596CC80F18E}</x14:id>
        </ext>
      </extLst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15D0CC-5405-47F5-BBC1-C66ED35E78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F2:N2</xm:sqref>
        </x14:conditionalFormatting>
        <x14:conditionalFormatting xmlns:xm="http://schemas.microsoft.com/office/excel/2006/main">
          <x14:cfRule type="dataBar" id="{A8F5EA75-AEB1-4872-B806-1F62592B694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F7:N7</xm:sqref>
        </x14:conditionalFormatting>
        <x14:conditionalFormatting xmlns:xm="http://schemas.microsoft.com/office/excel/2006/main">
          <x14:cfRule type="dataBar" id="{294FA6CB-5D9B-4E10-B098-7596CC80F1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F8:N8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7498-BE33-47CD-AFCE-24A11E184539}">
  <dimension ref="A1:L3"/>
  <sheetViews>
    <sheetView tabSelected="1" workbookViewId="0">
      <selection activeCell="G52" sqref="G52"/>
    </sheetView>
  </sheetViews>
  <sheetFormatPr baseColWidth="10" defaultRowHeight="15" x14ac:dyDescent="0.2"/>
  <sheetData>
    <row r="1" spans="1:12" x14ac:dyDescent="0.2">
      <c r="B1" t="s">
        <v>27</v>
      </c>
      <c r="C1" t="s">
        <v>37</v>
      </c>
      <c r="D1" s="2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 x14ac:dyDescent="0.2">
      <c r="A2" t="s">
        <v>26</v>
      </c>
      <c r="B2">
        <v>3450</v>
      </c>
      <c r="C2">
        <v>6093</v>
      </c>
      <c r="D2">
        <v>5923</v>
      </c>
      <c r="E2">
        <v>5390</v>
      </c>
      <c r="F2">
        <v>6848</v>
      </c>
      <c r="G2">
        <v>6643</v>
      </c>
      <c r="H2">
        <v>5072</v>
      </c>
      <c r="I2">
        <v>4075</v>
      </c>
      <c r="J2">
        <v>3023</v>
      </c>
      <c r="K2">
        <v>4486</v>
      </c>
      <c r="L2">
        <v>3256</v>
      </c>
    </row>
    <row r="3" spans="1:12" x14ac:dyDescent="0.2">
      <c r="A3" t="s">
        <v>8</v>
      </c>
      <c r="B3">
        <v>5900</v>
      </c>
      <c r="C3">
        <v>8629</v>
      </c>
      <c r="D3">
        <v>8470</v>
      </c>
      <c r="E3">
        <v>7837</v>
      </c>
      <c r="F3">
        <v>9284</v>
      </c>
      <c r="G3">
        <v>9041</v>
      </c>
      <c r="H3">
        <v>7919</v>
      </c>
      <c r="I3">
        <v>6759</v>
      </c>
      <c r="J3">
        <v>5741</v>
      </c>
      <c r="K3">
        <v>8027</v>
      </c>
      <c r="L3">
        <v>6793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Total</vt:lpstr>
      <vt:lpstr>Itemized</vt:lpstr>
      <vt:lpstr>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Jay</dc:creator>
  <cp:lastModifiedBy>Bastien Gallay</cp:lastModifiedBy>
  <dcterms:created xsi:type="dcterms:W3CDTF">2025-11-06T09:43:31Z</dcterms:created>
  <dcterms:modified xsi:type="dcterms:W3CDTF">2025-11-21T15:53:19Z</dcterms:modified>
</cp:coreProperties>
</file>